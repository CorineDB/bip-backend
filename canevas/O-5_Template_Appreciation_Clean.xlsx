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j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27">
    <font>
      <name val="Arial"/>
      <color theme="1"/>
      <sz val="10"/>
      <scheme val="minor"/>
    </font>
    <font>
      <name val="Calibri"/>
      <b val="1"/>
      <color rgb="FF0070C0"/>
      <sz val="14"/>
    </font>
    <font>
      <name val="Arial"/>
      <color theme="1"/>
      <sz val="10"/>
    </font>
    <font>
      <name val="Calibri"/>
      <b val="1"/>
      <color rgb="FF000000"/>
      <sz val="16"/>
    </font>
    <font/>
    <font>
      <name val="Calibri"/>
      <b val="1"/>
      <color rgb="FF0070C0"/>
      <sz val="16"/>
    </font>
    <font>
      <name val="Arial"/>
      <b val="1"/>
      <color theme="1"/>
      <sz val="11"/>
    </font>
    <font>
      <name val="Aptos Narrow"/>
      <color theme="1"/>
      <sz val="12"/>
    </font>
    <font>
      <name val="Calibri"/>
      <b val="1"/>
      <color rgb="FFC00000"/>
      <sz val="12"/>
    </font>
    <font>
      <name val="Arial"/>
      <b val="1"/>
      <color theme="1"/>
      <sz val="12"/>
    </font>
    <font>
      <name val="Arial"/>
      <b val="1"/>
      <color rgb="FFF4CCCC"/>
      <sz val="11"/>
    </font>
    <font>
      <name val="Arial"/>
      <b val="1"/>
      <color rgb="FF000000"/>
      <sz val="12"/>
    </font>
    <font>
      <name val="Calibri"/>
      <b val="1"/>
      <color rgb="FF000000"/>
      <sz val="12"/>
    </font>
    <font>
      <name val="Arial"/>
      <b val="1"/>
      <color rgb="FFFFC000"/>
      <sz val="16"/>
    </font>
    <font>
      <name val="Arial"/>
      <color theme="1"/>
      <sz val="11"/>
    </font>
    <font>
      <name val="Arial"/>
      <color rgb="FFFFFFFF"/>
      <sz val="14"/>
    </font>
    <font>
      <name val="Arial"/>
      <color rgb="FF000000"/>
      <sz val="11"/>
    </font>
    <font>
      <name val="Arial"/>
      <color rgb="FF000000"/>
      <sz val="10"/>
    </font>
    <font>
      <name val="Arial"/>
      <b val="1"/>
      <color rgb="FF09A493"/>
      <sz val="14"/>
    </font>
    <font>
      <name val="Arial"/>
      <b val="1"/>
      <color rgb="FF222A35"/>
      <sz val="12"/>
    </font>
    <font>
      <name val="Arial"/>
      <b val="1"/>
      <color rgb="FFFFFFFF"/>
      <sz val="14"/>
    </font>
    <font>
      <name val="Arial"/>
      <b val="1"/>
      <color theme="1"/>
      <sz val="13"/>
    </font>
    <font>
      <name val="Arial"/>
      <b val="1"/>
      <color theme="0"/>
      <sz val="13"/>
    </font>
    <font>
      <name val="Arial"/>
      <b val="1"/>
      <color rgb="FF00B050"/>
      <sz val="12"/>
    </font>
    <font>
      <name val="Arial"/>
      <b val="1"/>
      <color rgb="FFED7D31"/>
      <sz val="12"/>
    </font>
    <font>
      <name val="Arial"/>
      <b val="1"/>
      <color rgb="FFFF0000"/>
      <sz val="12"/>
    </font>
    <font>
      <name val="Arial"/>
      <b val="1"/>
      <color rgb="FF000000"/>
      <sz val="10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BFFFC"/>
        <bgColor rgb="FFEBFFFC"/>
      </patternFill>
    </fill>
    <fill>
      <patternFill patternType="solid">
        <fgColor rgb="FFC00000"/>
        <bgColor rgb="FFC00000"/>
      </patternFill>
    </fill>
    <fill>
      <patternFill patternType="solid">
        <fgColor rgb="FFF3F3F3"/>
        <bgColor rgb="FFF3F3F3"/>
      </patternFill>
    </fill>
    <fill>
      <patternFill patternType="solid">
        <fgColor rgb="FF09A493"/>
        <bgColor rgb="FF09A493"/>
      </patternFill>
    </fill>
    <fill>
      <patternFill patternType="solid">
        <fgColor theme="0"/>
        <bgColor theme="0"/>
      </patternFill>
    </fill>
  </fills>
  <borders count="55">
    <border/>
    <border>
      <left/>
      <top/>
    </border>
    <border>
      <right/>
      <top/>
    </border>
    <border>
      <left/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/>
      <top style="medium">
        <color rgb="FF000000"/>
      </top>
    </border>
    <border>
      <left/>
      <right/>
      <top style="medium">
        <color rgb="FF000000"/>
      </top>
    </border>
    <border>
      <left style="medium">
        <color rgb="FF000000"/>
      </left>
      <bottom/>
    </border>
    <border>
      <left/>
      <right/>
    </border>
    <border>
      <left/>
      <right/>
      <bottom style="medium">
        <color rgb="FFC00000"/>
      </bottom>
    </border>
    <border>
      <left/>
      <right/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 style="medium">
        <color rgb="FFC00000"/>
      </bottom>
    </border>
    <border>
      <bottom style="medium">
        <color rgb="FFC00000"/>
      </bottom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</border>
    <border>
      <left/>
      <right/>
      <top style="medium">
        <color rgb="FF000000"/>
      </top>
      <bottom style="thin">
        <color rgb="FF000000"/>
      </bottom>
    </border>
  </borders>
  <cellStyleXfs count="1">
    <xf numFmtId="0" fontId="0" fillId="0" borderId="0"/>
  </cellStyleXfs>
  <cellXfs count="10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2" pivotButton="0" quotePrefix="0" xfId="0"/>
    <xf numFmtId="0" fontId="5" fillId="0" borderId="0" applyAlignment="1" pivotButton="0" quotePrefix="0" xfId="0">
      <alignment horizontal="center" vertical="center" wrapText="1"/>
    </xf>
    <xf numFmtId="0" fontId="4" fillId="0" borderId="3" pivotButton="0" quotePrefix="0" xfId="0"/>
    <xf numFmtId="0" fontId="4" fillId="0" borderId="4" pivotButton="0" quotePrefix="0" xfId="0"/>
    <xf numFmtId="49" fontId="6" fillId="0" borderId="0" pivotButton="0" quotePrefix="0" xfId="0"/>
    <xf numFmtId="164" fontId="7" fillId="3" borderId="5" pivotButton="0" quotePrefix="0" xfId="0"/>
    <xf numFmtId="0" fontId="4" fillId="0" borderId="6" pivotButton="0" quotePrefix="0" xfId="0"/>
    <xf numFmtId="0" fontId="4" fillId="0" borderId="7" pivotButton="0" quotePrefix="0" xfId="0"/>
    <xf numFmtId="0" fontId="6" fillId="0" borderId="0" pivotButton="0" quotePrefix="0" xfId="0"/>
    <xf numFmtId="49" fontId="7" fillId="3" borderId="5" pivotButton="0" quotePrefix="0" xfId="0"/>
    <xf numFmtId="0" fontId="6" fillId="0" borderId="8" pivotButton="0" quotePrefix="0" xfId="0"/>
    <xf numFmtId="0" fontId="6" fillId="0" borderId="0" applyAlignment="1" pivotButton="0" quotePrefix="0" xfId="0">
      <alignment wrapText="1"/>
    </xf>
    <xf numFmtId="0" fontId="8" fillId="0" borderId="0" applyAlignment="1" pivotButton="0" quotePrefix="0" xfId="0">
      <alignment vertical="top" wrapText="1"/>
    </xf>
    <xf numFmtId="0" fontId="8" fillId="0" borderId="9" applyAlignment="1" pivotButton="0" quotePrefix="0" xfId="0">
      <alignment vertical="top" wrapText="1"/>
    </xf>
    <xf numFmtId="0" fontId="4" fillId="0" borderId="10" pivotButton="0" quotePrefix="0" xfId="0"/>
    <xf numFmtId="0" fontId="9" fillId="0" borderId="11" applyAlignment="1" pivotButton="0" quotePrefix="0" xfId="0">
      <alignment horizontal="center" vertical="center" wrapText="1"/>
    </xf>
    <xf numFmtId="0" fontId="4" fillId="0" borderId="12" pivotButton="0" quotePrefix="0" xfId="0"/>
    <xf numFmtId="0" fontId="10" fillId="4" borderId="13" applyAlignment="1" pivotButton="0" quotePrefix="0" xfId="0">
      <alignment horizontal="center" vertical="center" wrapText="1"/>
    </xf>
    <xf numFmtId="0" fontId="9" fillId="3" borderId="13" applyAlignment="1" pivotButton="0" quotePrefix="0" xfId="0">
      <alignment horizontal="center" vertical="center" wrapText="1"/>
    </xf>
    <xf numFmtId="0" fontId="4" fillId="0" borderId="14" pivotButton="0" quotePrefix="0" xfId="0"/>
    <xf numFmtId="0" fontId="4" fillId="0" borderId="15" pivotButton="0" quotePrefix="0" xfId="0"/>
    <xf numFmtId="0" fontId="11" fillId="3" borderId="5" applyAlignment="1" pivotButton="0" quotePrefix="0" xfId="0">
      <alignment horizontal="left" vertical="center"/>
    </xf>
    <xf numFmtId="0" fontId="4" fillId="0" borderId="16" pivotButton="0" quotePrefix="0" xfId="0"/>
    <xf numFmtId="0" fontId="4" fillId="0" borderId="17" pivotButton="0" quotePrefix="0" xfId="0"/>
    <xf numFmtId="0" fontId="2" fillId="0" borderId="0" applyAlignment="1" pivotButton="0" quotePrefix="0" xfId="0">
      <alignment horizontal="left" vertical="top" wrapText="1"/>
    </xf>
    <xf numFmtId="0" fontId="12" fillId="3" borderId="18" applyAlignment="1" pivotButton="0" quotePrefix="0" xfId="0">
      <alignment vertical="top" wrapText="1"/>
    </xf>
    <xf numFmtId="0" fontId="2" fillId="5" borderId="19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top" wrapText="1"/>
    </xf>
    <xf numFmtId="0" fontId="4" fillId="0" borderId="20" pivotButton="0" quotePrefix="0" xfId="0"/>
    <xf numFmtId="0" fontId="4" fillId="0" borderId="21" pivotButton="0" quotePrefix="0" xfId="0"/>
    <xf numFmtId="0" fontId="6" fillId="0" borderId="0" applyAlignment="1" pivotButton="0" quotePrefix="0" xfId="0">
      <alignment vertical="top" wrapText="1"/>
    </xf>
    <xf numFmtId="0" fontId="2" fillId="5" borderId="22" applyAlignment="1" pivotButton="0" quotePrefix="0" xfId="0">
      <alignment horizontal="left" vertical="center" wrapText="1"/>
    </xf>
    <xf numFmtId="0" fontId="4" fillId="0" borderId="23" pivotButton="0" quotePrefix="0" xfId="0"/>
    <xf numFmtId="0" fontId="6" fillId="0" borderId="24" applyAlignment="1" pivotButton="0" quotePrefix="0" xfId="0">
      <alignment vertical="top" wrapText="1"/>
    </xf>
    <xf numFmtId="0" fontId="4" fillId="0" borderId="24" pivotButton="0" quotePrefix="0" xfId="0"/>
    <xf numFmtId="0" fontId="6" fillId="3" borderId="5" applyAlignment="1" pivotButton="0" quotePrefix="0" xfId="0">
      <alignment vertical="top" wrapText="1"/>
    </xf>
    <xf numFmtId="0" fontId="13" fillId="6" borderId="25" applyAlignment="1" pivotButton="0" quotePrefix="0" xfId="0">
      <alignment vertical="center" wrapText="1"/>
    </xf>
    <xf numFmtId="0" fontId="4" fillId="0" borderId="26" pivotButton="0" quotePrefix="0" xfId="0"/>
    <xf numFmtId="0" fontId="4" fillId="0" borderId="27" pivotButton="0" quotePrefix="0" xfId="0"/>
    <xf numFmtId="0" fontId="13" fillId="6" borderId="28" applyAlignment="1" pivotButton="0" quotePrefix="0" xfId="0">
      <alignment vertical="center" wrapText="1"/>
    </xf>
    <xf numFmtId="0" fontId="6" fillId="0" borderId="29" applyAlignment="1" pivotButton="0" quotePrefix="0" xfId="0">
      <alignment vertical="top" wrapText="1"/>
    </xf>
    <xf numFmtId="0" fontId="4" fillId="0" borderId="30" pivotButton="0" quotePrefix="0" xfId="0"/>
    <xf numFmtId="0" fontId="4" fillId="0" borderId="31" pivotButton="0" quotePrefix="0" xfId="0"/>
    <xf numFmtId="0" fontId="14" fillId="0" borderId="32" applyAlignment="1" pivotButton="0" quotePrefix="0" xfId="0">
      <alignment horizontal="center" vertical="top" wrapText="1"/>
    </xf>
    <xf numFmtId="0" fontId="4" fillId="0" borderId="33" pivotButton="0" quotePrefix="0" xfId="0"/>
    <xf numFmtId="0" fontId="6" fillId="0" borderId="32" applyAlignment="1" pivotButton="0" quotePrefix="0" xfId="0">
      <alignment vertical="top" wrapText="1"/>
    </xf>
    <xf numFmtId="0" fontId="4" fillId="0" borderId="34" pivotButton="0" quotePrefix="0" xfId="0"/>
    <xf numFmtId="0" fontId="2" fillId="0" borderId="32" applyAlignment="1" pivotButton="0" quotePrefix="0" xfId="0">
      <alignment horizontal="center" vertical="top" wrapText="1"/>
    </xf>
    <xf numFmtId="0" fontId="15" fillId="6" borderId="25" applyAlignment="1" pivotButton="0" quotePrefix="0" xfId="0">
      <alignment vertical="center" wrapText="1"/>
    </xf>
    <xf numFmtId="0" fontId="16" fillId="0" borderId="32" applyAlignment="1" pivotButton="0" quotePrefix="0" xfId="0">
      <alignment horizontal="center" vertical="top" wrapText="1"/>
    </xf>
    <xf numFmtId="0" fontId="17" fillId="0" borderId="32" applyAlignment="1" pivotButton="0" quotePrefix="0" xfId="0">
      <alignment horizontal="center" vertical="top" wrapText="1"/>
    </xf>
    <xf numFmtId="0" fontId="13" fillId="6" borderId="18" applyAlignment="1" pivotButton="0" quotePrefix="0" xfId="0">
      <alignment vertical="center" wrapText="1"/>
    </xf>
    <xf numFmtId="0" fontId="14" fillId="0" borderId="35" applyAlignment="1" pivotButton="0" quotePrefix="0" xfId="0">
      <alignment vertical="center" wrapText="1"/>
    </xf>
    <xf numFmtId="0" fontId="18" fillId="3" borderId="25" applyAlignment="1" pivotButton="0" quotePrefix="0" xfId="0">
      <alignment horizontal="center" vertical="center" wrapText="1"/>
    </xf>
    <xf numFmtId="0" fontId="19" fillId="0" borderId="36" applyAlignment="1" pivotButton="0" quotePrefix="0" xfId="0">
      <alignment vertical="top" wrapText="1"/>
    </xf>
    <xf numFmtId="0" fontId="19" fillId="0" borderId="19" applyAlignment="1" pivotButton="0" quotePrefix="0" xfId="0">
      <alignment vertical="top"/>
    </xf>
    <xf numFmtId="0" fontId="19" fillId="0" borderId="37" applyAlignment="1" pivotButton="0" quotePrefix="0" xfId="0">
      <alignment horizontal="left" vertical="top"/>
    </xf>
    <xf numFmtId="0" fontId="4" fillId="0" borderId="38" pivotButton="0" quotePrefix="0" xfId="0"/>
    <xf numFmtId="0" fontId="4" fillId="0" borderId="22" pivotButton="0" quotePrefix="0" xfId="0"/>
    <xf numFmtId="0" fontId="19" fillId="0" borderId="36" applyAlignment="1" pivotButton="0" quotePrefix="0" xfId="0">
      <alignment vertical="center"/>
    </xf>
    <xf numFmtId="0" fontId="4" fillId="0" borderId="39" pivotButton="0" quotePrefix="0" xfId="0"/>
    <xf numFmtId="0" fontId="20" fillId="6" borderId="40" applyAlignment="1" pivotButton="0" quotePrefix="0" xfId="0">
      <alignment horizontal="center" vertical="center" wrapText="1"/>
    </xf>
    <xf numFmtId="0" fontId="4" fillId="0" borderId="41" pivotButton="0" quotePrefix="0" xfId="0"/>
    <xf numFmtId="0" fontId="21" fillId="0" borderId="36" applyAlignment="1" pivotButton="0" quotePrefix="0" xfId="0">
      <alignment horizontal="left" vertical="center"/>
    </xf>
    <xf numFmtId="0" fontId="9" fillId="0" borderId="36" applyAlignment="1" pivotButton="0" quotePrefix="0" xfId="0">
      <alignment horizontal="center"/>
    </xf>
    <xf numFmtId="0" fontId="2" fillId="0" borderId="37" applyAlignment="1" pivotButton="0" quotePrefix="0" xfId="0">
      <alignment horizontal="center"/>
    </xf>
    <xf numFmtId="0" fontId="21" fillId="0" borderId="36" applyAlignment="1" pivotButton="0" quotePrefix="0" xfId="0">
      <alignment horizontal="left" vertical="center" wrapText="1"/>
    </xf>
    <xf numFmtId="0" fontId="4" fillId="0" borderId="42" pivotButton="0" quotePrefix="0" xfId="0"/>
    <xf numFmtId="0" fontId="22" fillId="6" borderId="37" applyAlignment="1" pivotButton="0" quotePrefix="0" xfId="0">
      <alignment horizontal="center" vertical="center"/>
    </xf>
    <xf numFmtId="0" fontId="23" fillId="0" borderId="37" applyAlignment="1" pivotButton="0" quotePrefix="0" xfId="0">
      <alignment horizontal="left" vertical="center"/>
    </xf>
    <xf numFmtId="0" fontId="24" fillId="0" borderId="40" applyAlignment="1" pivotButton="0" quotePrefix="0" xfId="0">
      <alignment vertical="center" wrapText="1"/>
    </xf>
    <xf numFmtId="0" fontId="24" fillId="0" borderId="37" applyAlignment="1" pivotButton="0" quotePrefix="0" xfId="0">
      <alignment vertical="top"/>
    </xf>
    <xf numFmtId="0" fontId="25" fillId="0" borderId="40" applyAlignment="1" pivotButton="0" quotePrefix="0" xfId="0">
      <alignment vertical="center"/>
    </xf>
    <xf numFmtId="0" fontId="26" fillId="0" borderId="36" applyAlignment="1" pivotButton="0" quotePrefix="0" xfId="0">
      <alignment vertical="center"/>
    </xf>
    <xf numFmtId="0" fontId="2" fillId="0" borderId="36" pivotButton="0" quotePrefix="0" xfId="0"/>
    <xf numFmtId="0" fontId="17" fillId="0" borderId="36" applyAlignment="1" pivotButton="0" quotePrefix="0" xfId="0">
      <alignment vertical="center"/>
    </xf>
    <xf numFmtId="0" fontId="2" fillId="7" borderId="8" pivotButton="0" quotePrefix="0" xfId="0"/>
    <xf numFmtId="0" fontId="25" fillId="0" borderId="37" applyAlignment="1" pivotButton="0" quotePrefix="0" xfId="0">
      <alignment vertical="top"/>
    </xf>
    <xf numFmtId="0" fontId="0" fillId="0" borderId="0" pivotButton="0" quotePrefix="0" xfId="0"/>
    <xf numFmtId="0" fontId="3" fillId="2" borderId="8" applyAlignment="1" pivotButton="0" quotePrefix="0" xfId="0">
      <alignment horizontal="left" vertical="center"/>
    </xf>
    <xf numFmtId="164" fontId="7" fillId="3" borderId="8" pivotButton="0" quotePrefix="0" xfId="0"/>
    <xf numFmtId="49" fontId="7" fillId="3" borderId="8" pivotButton="0" quotePrefix="0" xfId="0"/>
    <xf numFmtId="0" fontId="8" fillId="0" borderId="10" applyAlignment="1" pivotButton="0" quotePrefix="0" xfId="0">
      <alignment vertical="top" wrapText="1"/>
    </xf>
    <xf numFmtId="0" fontId="0" fillId="0" borderId="10" pivotButton="0" quotePrefix="0" xfId="0"/>
    <xf numFmtId="0" fontId="9" fillId="0" borderId="52" applyAlignment="1" pivotButton="0" quotePrefix="0" xfId="0">
      <alignment horizontal="center" vertical="center" wrapText="1"/>
    </xf>
    <xf numFmtId="0" fontId="0" fillId="0" borderId="50" pivotButton="0" quotePrefix="0" xfId="0"/>
    <xf numFmtId="0" fontId="10" fillId="4" borderId="48" applyAlignment="1" pivotButton="0" quotePrefix="0" xfId="0">
      <alignment horizontal="center" vertical="center" wrapText="1"/>
    </xf>
    <xf numFmtId="0" fontId="9" fillId="3" borderId="54" applyAlignment="1" pivotButton="0" quotePrefix="0" xfId="0">
      <alignment horizontal="center" vertical="center" wrapText="1"/>
    </xf>
    <xf numFmtId="0" fontId="0" fillId="0" borderId="53" pivotButton="0" quotePrefix="0" xfId="0"/>
    <xf numFmtId="0" fontId="11" fillId="3" borderId="8" applyAlignment="1" pivotButton="0" quotePrefix="0" xfId="0">
      <alignment horizontal="left" vertical="center"/>
    </xf>
    <xf numFmtId="0" fontId="0" fillId="0" borderId="49" pivotButton="0" quotePrefix="0" xfId="0"/>
    <xf numFmtId="0" fontId="0" fillId="0" borderId="24" pivotButton="0" quotePrefix="0" xfId="0"/>
    <xf numFmtId="0" fontId="0" fillId="0" borderId="38" pivotButton="0" quotePrefix="0" xfId="0"/>
    <xf numFmtId="0" fontId="0" fillId="0" borderId="42" pivotButton="0" quotePrefix="0" xfId="0"/>
    <xf numFmtId="0" fontId="22" fillId="6" borderId="36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39" pivotButton="0" quotePrefix="0" xfId="0"/>
    <xf numFmtId="0" fontId="0" fillId="0" borderId="23" pivotButton="0" quotePrefix="0" xfId="0"/>
    <xf numFmtId="0" fontId="23" fillId="0" borderId="36" applyAlignment="1" pivotButton="0" quotePrefix="0" xfId="0">
      <alignment horizontal="left" vertical="center"/>
    </xf>
    <xf numFmtId="0" fontId="24" fillId="0" borderId="36" applyAlignment="1" pivotButton="0" quotePrefix="0" xfId="0">
      <alignment vertical="center" wrapText="1"/>
    </xf>
    <xf numFmtId="0" fontId="0" fillId="0" borderId="41" pivotButton="0" quotePrefix="0" xfId="0"/>
    <xf numFmtId="0" fontId="24" fillId="0" borderId="36" applyAlignment="1" pivotButton="0" quotePrefix="0" xfId="0">
      <alignment vertical="top"/>
    </xf>
    <xf numFmtId="0" fontId="25" fillId="0" borderId="36" applyAlignment="1" pivotButton="0" quotePrefix="0" xfId="0">
      <alignment vertical="center"/>
    </xf>
    <xf numFmtId="0" fontId="25" fillId="0" borderId="36" applyAlignment="1" pivotButton="0" quotePrefix="0" xfId="0">
      <alignment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2</col>
      <colOff>866775</colOff>
      <row>1</row>
      <rowOff>9525</rowOff>
    </from>
    <ext cx="2914650" cy="1219200"/>
    <pic>
      <nvPicPr>
        <cNvPr id="0" name="image1.jp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Z229"/>
  <sheetViews>
    <sheetView workbookViewId="0">
      <selection activeCell="A1" sqref="A1"/>
    </sheetView>
  </sheetViews>
  <sheetFormatPr baseColWidth="8" defaultColWidth="12.63" defaultRowHeight="15" customHeight="1"/>
  <cols>
    <col width="42" customWidth="1" style="83" min="1" max="1"/>
    <col width="38.63" customWidth="1" style="83" min="2" max="2"/>
    <col width="19.25" customWidth="1" style="83" min="3" max="3"/>
    <col width="20.38" customWidth="1" style="83" min="4" max="4"/>
    <col width="13.75" customWidth="1" style="83" min="5" max="5"/>
    <col width="8.75" customWidth="1" style="83" min="6" max="24"/>
  </cols>
  <sheetData>
    <row r="1" ht="51" customHeight="1" s="83">
      <c r="A1" s="1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51" customHeight="1" s="83">
      <c r="A2" s="84" t="inlineStr">
        <is>
          <t xml:space="preserve">NOTE CONCEPTUELLE DE PROJET </t>
        </is>
      </c>
      <c r="C2" s="5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51" customHeight="1" s="83"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5.25" customHeight="1" s="83">
      <c r="A4" s="8" t="inlineStr">
        <is>
          <t xml:space="preserve">Titre du projet </t>
        </is>
      </c>
      <c r="B4" s="85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2.5" customHeight="1" s="83">
      <c r="A5" s="12" t="inlineStr">
        <is>
          <t>Numéro d’identification BIP</t>
        </is>
      </c>
      <c r="B5" s="86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5.5" customHeight="1" s="83">
      <c r="A6" s="14" t="inlineStr">
        <is>
          <t>Coût du projet</t>
        </is>
      </c>
      <c r="B6" s="86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7" customHeight="1" s="83">
      <c r="A7" s="15" t="inlineStr">
        <is>
          <t>Date de démarrage de l’étude</t>
        </is>
      </c>
      <c r="B7" s="86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31.5" customHeight="1" s="83">
      <c r="A8" s="15" t="inlineStr">
        <is>
          <t>Date d’achèvement de l’étude</t>
        </is>
      </c>
      <c r="B8" s="86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64.5" customHeight="1" s="83">
      <c r="A9" s="16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54.75" customHeight="1" s="83">
      <c r="A10" s="17" t="n"/>
      <c r="B10" s="17" t="n"/>
      <c r="C10" s="17" t="n"/>
      <c r="D10" s="87" t="n"/>
      <c r="E10" s="88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49.5" customHeight="1" s="83">
      <c r="A11" s="89" t="inlineStr">
        <is>
          <t xml:space="preserve"> Toutes les questions ci-dessous doit avoir une réponse !</t>
        </is>
      </c>
      <c r="B11" s="90" t="n"/>
      <c r="C11" s="91" t="inlineStr">
        <is>
          <t xml:space="preserve"> Évaluation : cette colonne doit être complétée par l'évaluateur seulement </t>
        </is>
      </c>
      <c r="D11" s="92" t="inlineStr">
        <is>
          <t>Commentaires</t>
        </is>
      </c>
      <c r="E11" s="92" t="inlineStr">
        <is>
          <t xml:space="preserve"> Guide de notation</t>
        </is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0.25" customHeight="1" s="83">
      <c r="A12" s="93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6.25" customHeight="1" s="83">
      <c r="A13" s="94" t="inlineStr">
        <is>
          <t>Contexte et justification</t>
        </is>
      </c>
      <c r="C13" s="95" t="n"/>
      <c r="D13" s="96" t="n"/>
      <c r="E13" s="96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41.75" customHeight="1" s="83">
      <c r="A14" s="68" t="inlineStr">
        <is>
          <t xml:space="preserve"> Nombre de rubriques validées </t>
        </is>
      </c>
      <c r="B14" s="69">
        <f>COUNTIF(C$14:C$44,"Validé")</f>
        <v/>
      </c>
      <c r="C14" s="70" t="n"/>
      <c r="D14" s="97" t="n"/>
      <c r="E14" s="97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29.75" customHeight="1" s="83">
      <c r="A15" s="71" t="inlineStr">
        <is>
          <t xml:space="preserve"> Nombre de rubriques ayant fait objet de réserve</t>
        </is>
      </c>
      <c r="B15" s="69">
        <f>COUNTIF(C$14:C$44,"Réservé")</f>
        <v/>
      </c>
      <c r="C15" s="98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41.25" customHeight="1" s="83">
      <c r="A16" s="68" t="inlineStr">
        <is>
          <t xml:space="preserve"> Nombre de rubriques rejetées</t>
        </is>
      </c>
      <c r="B16" s="69">
        <f>COUNTIF(C$14:C$44,"Rejeté")</f>
        <v/>
      </c>
      <c r="C16" s="98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36.5" customHeight="1" s="83">
      <c r="A17" s="99" t="inlineStr">
        <is>
          <t xml:space="preserve"> Le résultat de l'examen est donc le suivant :</t>
        </is>
      </c>
      <c r="B17" s="100" t="n"/>
      <c r="C17" s="98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41.25" customHeight="1" s="83">
      <c r="A18" s="101" t="n"/>
      <c r="B18" s="102" t="n"/>
      <c r="C18" s="98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41.25" customHeight="1" s="83">
      <c r="A19" s="103" t="inlineStr">
        <is>
          <t xml:space="preserve"> ( ) Note conceptuelle conforme (toutes les rubriques validées)</t>
        </is>
      </c>
      <c r="B19" s="100" t="n"/>
      <c r="C19" s="98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9.75" customHeight="1" s="83">
      <c r="A20" s="101" t="n"/>
      <c r="B20" s="102" t="n"/>
      <c r="C20" s="98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36.75" customHeight="1" s="83">
      <c r="A21" s="104" t="inlineStr">
        <is>
          <t xml:space="preserve"> ( ) Avis réservé sur la note conceptuelle (avis réservé)</t>
        </is>
      </c>
      <c r="B21" s="105" t="n"/>
      <c r="C21" s="98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0" customHeight="1" s="83">
      <c r="A22" s="106" t="inlineStr">
        <is>
          <t xml:space="preserve"> Raisons et recommandations d'amélioration :</t>
        </is>
      </c>
      <c r="B22" s="100" t="n"/>
      <c r="C22" s="98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7" customHeight="1" s="83">
      <c r="A23" s="101" t="n"/>
      <c r="B23" s="102" t="n"/>
      <c r="C23" s="98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0.25" customHeight="1" s="83">
      <c r="A24" s="107" t="inlineStr">
        <is>
          <t xml:space="preserve"> ( ) Note conceptuelle non conforme (rejet)</t>
        </is>
      </c>
      <c r="B24" s="105" t="n"/>
      <c r="C24" s="98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85.5" customHeight="1" s="83">
      <c r="A25" s="78" t="inlineStr">
        <is>
          <t xml:space="preserve"> Seules raisons possibles de rejet :</t>
        </is>
      </c>
      <c r="B25" s="79" t="n"/>
      <c r="C25" s="98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4.75" customHeight="1" s="83">
      <c r="A26" s="80" t="inlineStr">
        <is>
          <t xml:space="preserve"> 1. Si des rubriques n'ont pas été renseignées</t>
        </is>
      </c>
      <c r="B26" s="79" t="n"/>
      <c r="C26" s="98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85.5" customHeight="1" s="83">
      <c r="A27" s="80" t="inlineStr">
        <is>
          <t xml:space="preserve"> 2. Si le contenu d'une rubrique a été rejeté </t>
        </is>
      </c>
      <c r="B27" s="79" t="n"/>
      <c r="C27" s="98" t="n"/>
      <c r="F27" s="81" t="n"/>
      <c r="G27" s="81" t="n"/>
      <c r="H27" s="81" t="n"/>
      <c r="I27" s="81" t="n"/>
      <c r="J27" s="81" t="n"/>
      <c r="K27" s="81" t="n"/>
      <c r="L27" s="81" t="n"/>
      <c r="M27" s="81" t="n"/>
      <c r="N27" s="81" t="n"/>
      <c r="O27" s="81" t="n"/>
      <c r="P27" s="81" t="n"/>
      <c r="Q27" s="81" t="n"/>
      <c r="R27" s="81" t="n"/>
      <c r="S27" s="81" t="n"/>
      <c r="T27" s="81" t="n"/>
      <c r="U27" s="81" t="n"/>
      <c r="V27" s="81" t="n"/>
      <c r="W27" s="81" t="n"/>
      <c r="X27" s="81" t="n"/>
      <c r="Y27" s="81" t="n"/>
      <c r="Z27" s="81" t="n"/>
    </row>
    <row r="28" ht="25.5" customHeight="1" s="83">
      <c r="A28" s="80" t="inlineStr">
        <is>
          <t xml:space="preserve"> 3. Si 06 ou plus des rubriques ont fait objet de réserve</t>
        </is>
      </c>
      <c r="B28" s="79" t="n"/>
      <c r="C28" s="98" t="n"/>
      <c r="F28" s="81" t="n"/>
      <c r="G28" s="81" t="n"/>
      <c r="H28" s="81" t="n"/>
      <c r="I28" s="81" t="n"/>
      <c r="J28" s="81" t="n"/>
      <c r="K28" s="81" t="n"/>
      <c r="L28" s="81" t="n"/>
      <c r="M28" s="81" t="n"/>
      <c r="N28" s="81" t="n"/>
      <c r="O28" s="81" t="n"/>
      <c r="P28" s="81" t="n"/>
      <c r="Q28" s="81" t="n"/>
      <c r="R28" s="81" t="n"/>
      <c r="S28" s="81" t="n"/>
      <c r="T28" s="81" t="n"/>
      <c r="U28" s="81" t="n"/>
      <c r="V28" s="81" t="n"/>
      <c r="W28" s="81" t="n"/>
      <c r="X28" s="81" t="n"/>
      <c r="Y28" s="81" t="n"/>
      <c r="Z28" s="81" t="n"/>
    </row>
    <row r="29" ht="120" customHeight="1" s="83">
      <c r="A29" s="108" t="inlineStr">
        <is>
          <t xml:space="preserve"> Raison(s) :</t>
        </is>
      </c>
      <c r="B29" s="100" t="n"/>
      <c r="C29" s="98" t="n"/>
      <c r="F29" s="81" t="n"/>
      <c r="G29" s="81" t="n"/>
      <c r="H29" s="81" t="n"/>
      <c r="I29" s="81" t="n"/>
      <c r="J29" s="81" t="n"/>
      <c r="K29" s="81" t="n"/>
      <c r="L29" s="81" t="n"/>
      <c r="M29" s="81" t="n"/>
      <c r="N29" s="81" t="n"/>
      <c r="O29" s="81" t="n"/>
      <c r="P29" s="81" t="n"/>
      <c r="Q29" s="81" t="n"/>
      <c r="R29" s="81" t="n"/>
      <c r="S29" s="81" t="n"/>
      <c r="T29" s="81" t="n"/>
      <c r="U29" s="81" t="n"/>
      <c r="V29" s="81" t="n"/>
      <c r="W29" s="81" t="n"/>
      <c r="X29" s="81" t="n"/>
      <c r="Y29" s="81" t="n"/>
      <c r="Z29" s="81" t="n"/>
    </row>
    <row r="30" ht="23.25" customHeight="1" s="83">
      <c r="A30" s="101" t="n"/>
      <c r="B30" s="102" t="n"/>
      <c r="C30" s="98" t="n"/>
      <c r="F30" s="81" t="n"/>
      <c r="G30" s="81" t="n"/>
      <c r="H30" s="81" t="n"/>
      <c r="I30" s="81" t="n"/>
      <c r="J30" s="81" t="n"/>
      <c r="K30" s="81" t="n"/>
      <c r="L30" s="81" t="n"/>
      <c r="M30" s="81" t="n"/>
      <c r="N30" s="81" t="n"/>
      <c r="O30" s="81" t="n"/>
      <c r="P30" s="81" t="n"/>
      <c r="Q30" s="81" t="n"/>
      <c r="R30" s="81" t="n"/>
      <c r="S30" s="81" t="n"/>
      <c r="T30" s="81" t="n"/>
      <c r="U30" s="81" t="n"/>
      <c r="V30" s="81" t="n"/>
      <c r="W30" s="81" t="n"/>
      <c r="X30" s="81" t="n"/>
      <c r="Y30" s="81" t="n"/>
      <c r="Z30" s="81" t="n"/>
    </row>
    <row r="31" ht="99.75" customHeight="1" s="83">
      <c r="A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36" customHeight="1" s="83"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85.5" customHeight="1" s="83"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28.5" customHeight="1" s="83"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85.5" customHeight="1" s="83"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27" customHeight="1" s="83"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85.5" customHeight="1" s="83"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57" customHeight="1" s="83"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83"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63.75" customHeight="1" s="83"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83"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84.75" customHeight="1" s="83"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83"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75.75" customHeight="1" s="83"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58.5" customHeight="1" s="83"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30" customHeight="1" s="83"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45" customHeight="1" s="83"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41.25" customHeight="1" s="83"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34.5" customHeight="1" s="83"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24.75" customHeight="1" s="83"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83"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24.75" customHeight="1" s="83"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" customHeight="1" s="83"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" customHeight="1" s="83"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24.75" customHeight="1" s="83"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24.75" customHeight="1" s="83"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30" customHeight="1" s="83"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48" customHeight="1" s="83"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48" customHeight="1" s="83"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37.5" customHeight="1" s="83"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" customHeight="1" s="83"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" customHeight="1" s="83"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" customHeight="1" s="83"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" customHeight="1" s="83"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85.5" customHeight="1" s="83"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85.5" customHeight="1" s="83"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85.5" customHeight="1" s="83"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85.5" customHeight="1" s="83"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85.5" customHeight="1" s="83"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85.5" customHeight="1" s="83"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85.5" customHeight="1" s="83"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85.5" customHeight="1" s="83"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85.5" customHeight="1" s="83"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85.5" customHeight="1" s="83"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85.5" customHeight="1" s="83"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85.5" customHeight="1" s="83"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85.5" customHeight="1" s="83"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85.5" customHeight="1" s="83"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85.5" customHeight="1" s="83"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85.5" customHeight="1" s="83"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85.5" customHeight="1" s="83"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85.5" customHeight="1" s="83"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85.5" customHeight="1" s="83"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85.5" customHeight="1" s="83"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85.5" customHeight="1" s="83"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85.5" customHeight="1" s="83"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85.5" customHeight="1" s="83"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85.5" customHeight="1" s="83"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85.5" customHeight="1" s="83"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85.5" customHeight="1" s="83"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85.5" customHeight="1" s="83"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85.5" customHeight="1" s="83"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85.5" customHeight="1" s="83"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85.5" customHeight="1" s="83"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85.5" customHeight="1" s="83"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85.5" customHeight="1" s="83"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85.5" customHeight="1" s="83"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85.5" customHeight="1" s="83"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85.5" customHeight="1" s="83"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85.5" customHeight="1" s="83"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85.5" customHeight="1" s="83"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85.5" customHeight="1" s="83"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85.5" customHeight="1" s="83"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85.5" customHeight="1" s="83"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85.5" customHeight="1" s="83"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85.5" customHeight="1" s="83"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85.5" customHeight="1" s="83"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85.5" customHeight="1" s="83"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85.5" customHeight="1" s="83"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85.5" customHeight="1" s="83"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85.5" customHeight="1" s="83"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85.5" customHeight="1" s="83"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85.5" customHeight="1" s="83"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85.5" customHeight="1" s="83"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85.5" customHeight="1" s="83"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85.5" customHeight="1" s="83"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85.5" customHeight="1" s="83"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85.5" customHeight="1" s="83"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85.5" customHeight="1" s="83"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85.5" customHeight="1" s="83"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85.5" customHeight="1" s="83"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85.5" customHeight="1" s="83"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85.5" customHeight="1" s="83"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85.5" customHeight="1" s="83"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85.5" customHeight="1" s="83"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85.5" customHeight="1" s="83"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85.5" customHeight="1" s="83"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85.5" customHeight="1" s="83"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85.5" customHeight="1" s="83"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85.5" customHeight="1" s="83"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85.5" customHeight="1" s="83"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85.5" customHeight="1" s="83"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85.5" customHeight="1" s="83"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85.5" customHeight="1" s="83"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85.5" customHeight="1" s="83"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85.5" customHeight="1" s="83"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85.5" customHeight="1" s="83"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85.5" customHeight="1" s="83"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85.5" customHeight="1" s="83"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85.5" customHeight="1" s="83"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85.5" customHeight="1" s="83"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85.5" customHeight="1" s="83"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85.5" customHeight="1" s="83"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85.5" customHeight="1" s="83"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85.5" customHeight="1" s="83"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85.5" customHeight="1" s="83"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85.5" customHeight="1" s="83"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85.5" customHeight="1" s="83"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85.5" customHeight="1" s="83"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85.5" customHeight="1" s="83"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85.5" customHeight="1" s="83"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85.5" customHeight="1" s="83"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85.5" customHeight="1" s="83"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85.5" customHeight="1" s="83"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85.5" customHeight="1" s="83"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85.5" customHeight="1" s="83"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85.5" customHeight="1" s="83"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85.5" customHeight="1" s="83"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85.5" customHeight="1" s="83"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85.5" customHeight="1" s="83"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85.5" customHeight="1" s="83"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85.5" customHeight="1" s="83"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85.5" customHeight="1" s="83"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85.5" customHeight="1" s="83"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85.5" customHeight="1" s="83"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85.5" customHeight="1" s="83"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85.5" customHeight="1" s="83"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85.5" customHeight="1" s="83"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85.5" customHeight="1" s="83"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85.5" customHeight="1" s="83"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85.5" customHeight="1" s="83"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85.5" customHeight="1" s="83"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85.5" customHeight="1" s="83"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85.5" customHeight="1" s="83"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85.5" customHeight="1" s="83"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85.5" customHeight="1" s="83"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85.5" customHeight="1" s="83"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85.5" customHeight="1" s="83"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85.5" customHeight="1" s="83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85.5" customHeight="1" s="83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85.5" customHeight="1" s="83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85.5" customHeight="1" s="83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85.5" customHeight="1" s="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85.5" customHeight="1" s="83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85.5" customHeight="1" s="83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85.5" customHeight="1" s="83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85.5" customHeight="1" s="83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85.5" customHeight="1" s="83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85.5" customHeight="1" s="83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85.5" customHeight="1" s="83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85.5" customHeight="1" s="83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85.5" customHeight="1" s="83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85.5" customHeight="1" s="8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85.5" customHeight="1" s="83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85.5" customHeight="1" s="83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85.5" customHeight="1" s="83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85.5" customHeight="1" s="83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85.5" customHeight="1" s="83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85.5" customHeight="1" s="83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85.5" customHeight="1" s="83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85.5" customHeight="1" s="83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85.5" customHeight="1" s="83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85.5" customHeight="1" s="8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85.5" customHeight="1" s="83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85.5" customHeight="1" s="83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85.5" customHeight="1" s="83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85.5" customHeight="1" s="83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85.5" customHeight="1" s="83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85.5" customHeight="1" s="83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85.5" customHeight="1" s="83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85.5" customHeight="1" s="83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85.5" customHeight="1" s="83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85.5" customHeight="1" s="8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85.5" customHeight="1" s="83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85.5" customHeight="1" s="83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85.5" customHeight="1" s="83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85.5" customHeight="1" s="83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85.5" customHeight="1" s="83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85.5" customHeight="1" s="83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85.5" customHeight="1" s="8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85.5" customHeight="1" s="8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85.5" customHeight="1" s="8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85.5" customHeight="1" s="8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85.5" customHeight="1" s="8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85.5" customHeight="1" s="8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85.5" customHeight="1" s="8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85.5" customHeight="1" s="8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85.5" customHeight="1" s="8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85.5" customHeight="1" s="8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85.5" customHeight="1" s="83"/>
    <row r="231" ht="85.5" customHeight="1" s="83"/>
    <row r="232" ht="85.5" customHeight="1" s="83"/>
    <row r="233" ht="85.5" customHeight="1" s="83"/>
    <row r="234" ht="85.5" customHeight="1" s="83"/>
    <row r="235" ht="85.5" customHeight="1" s="83"/>
    <row r="236" ht="85.5" customHeight="1" s="83"/>
    <row r="237" ht="85.5" customHeight="1" s="83"/>
    <row r="238" ht="85.5" customHeight="1" s="83"/>
    <row r="239" ht="85.5" customHeight="1" s="83"/>
    <row r="240" ht="85.5" customHeight="1" s="83"/>
    <row r="241" ht="85.5" customHeight="1" s="83"/>
    <row r="242" ht="85.5" customHeight="1" s="83"/>
    <row r="243" ht="85.5" customHeight="1" s="83"/>
    <row r="244" ht="85.5" customHeight="1" s="83"/>
    <row r="245" ht="85.5" customHeight="1" s="83"/>
    <row r="246" ht="85.5" customHeight="1" s="83"/>
    <row r="247" ht="85.5" customHeight="1" s="83"/>
    <row r="248" ht="85.5" customHeight="1" s="83"/>
    <row r="249" ht="85.5" customHeight="1" s="83"/>
    <row r="250" ht="85.5" customHeight="1" s="83"/>
    <row r="251" ht="85.5" customHeight="1" s="83"/>
    <row r="252" ht="85.5" customHeight="1" s="83"/>
    <row r="253" ht="85.5" customHeight="1" s="83"/>
    <row r="254" ht="85.5" customHeight="1" s="83"/>
    <row r="255" ht="85.5" customHeight="1" s="83"/>
    <row r="256" ht="85.5" customHeight="1" s="83"/>
    <row r="257" ht="85.5" customHeight="1" s="83"/>
    <row r="258" ht="85.5" customHeight="1" s="83"/>
    <row r="259" ht="85.5" customHeight="1" s="83"/>
    <row r="260" ht="85.5" customHeight="1" s="83"/>
    <row r="261" ht="85.5" customHeight="1" s="83"/>
    <row r="262" ht="85.5" customHeight="1" s="83"/>
    <row r="263" ht="85.5" customHeight="1" s="83"/>
    <row r="264" ht="85.5" customHeight="1" s="83"/>
    <row r="265" ht="85.5" customHeight="1" s="83"/>
    <row r="266" ht="15.75" customHeight="1" s="83"/>
    <row r="267" ht="15.75" customHeight="1" s="83"/>
    <row r="268" ht="15.75" customHeight="1" s="83"/>
    <row r="269" ht="15.75" customHeight="1" s="83"/>
    <row r="270" ht="15.75" customHeight="1" s="83"/>
    <row r="271" ht="15.75" customHeight="1" s="83"/>
    <row r="272" ht="15.75" customHeight="1" s="83"/>
    <row r="273" ht="15.75" customHeight="1" s="83"/>
    <row r="274" ht="15.75" customHeight="1" s="83"/>
    <row r="275" ht="15.75" customHeight="1" s="83"/>
    <row r="276" ht="15.75" customHeight="1" s="83"/>
    <row r="277" ht="15.75" customHeight="1" s="83"/>
    <row r="278" ht="15.75" customHeight="1" s="83"/>
    <row r="279" ht="15.75" customHeight="1" s="83"/>
    <row r="280" ht="15.75" customHeight="1" s="83"/>
    <row r="281" ht="15.75" customHeight="1" s="83"/>
    <row r="282" ht="15.75" customHeight="1" s="83"/>
    <row r="283" ht="15.75" customHeight="1" s="83"/>
    <row r="284" ht="15.75" customHeight="1" s="83"/>
    <row r="285" ht="15.75" customHeight="1" s="83"/>
    <row r="286" ht="15.75" customHeight="1" s="83"/>
    <row r="287" ht="15.75" customHeight="1" s="83"/>
    <row r="288" ht="15.75" customHeight="1" s="83"/>
    <row r="289" ht="15.75" customHeight="1" s="83"/>
    <row r="290" ht="15.75" customHeight="1" s="83"/>
    <row r="291" ht="15.75" customHeight="1" s="83"/>
    <row r="292" ht="15.75" customHeight="1" s="83"/>
    <row r="293" ht="15.75" customHeight="1" s="83"/>
    <row r="294" ht="15.75" customHeight="1" s="83"/>
    <row r="295" ht="15.75" customHeight="1" s="83"/>
    <row r="296" ht="15.75" customHeight="1" s="83"/>
    <row r="297" ht="15.75" customHeight="1" s="83"/>
    <row r="298" ht="15.75" customHeight="1" s="83"/>
    <row r="299" ht="15.75" customHeight="1" s="83"/>
    <row r="300" ht="15.75" customHeight="1" s="83"/>
    <row r="301" ht="15.75" customHeight="1" s="83"/>
    <row r="302" ht="15.75" customHeight="1" s="83"/>
    <row r="303" ht="15.75" customHeight="1" s="83"/>
    <row r="304" ht="15.75" customHeight="1" s="83"/>
    <row r="305" ht="15.75" customHeight="1" s="83"/>
    <row r="306" ht="15.75" customHeight="1" s="83"/>
    <row r="307" ht="15.75" customHeight="1" s="83"/>
    <row r="308" ht="15.75" customHeight="1" s="83"/>
    <row r="309" ht="15.75" customHeight="1" s="83"/>
    <row r="310" ht="15.75" customHeight="1" s="83"/>
    <row r="311" ht="15.75" customHeight="1" s="83"/>
    <row r="312" ht="15.75" customHeight="1" s="83"/>
    <row r="313" ht="15.75" customHeight="1" s="83"/>
    <row r="314" ht="15.75" customHeight="1" s="83"/>
    <row r="315" ht="15.75" customHeight="1" s="83"/>
    <row r="316" ht="15.75" customHeight="1" s="83"/>
    <row r="317" ht="15.75" customHeight="1" s="83"/>
    <row r="318" ht="15.75" customHeight="1" s="83"/>
    <row r="319" ht="15.75" customHeight="1" s="83"/>
    <row r="320" ht="15.75" customHeight="1" s="83"/>
    <row r="321" ht="15.75" customHeight="1" s="83"/>
    <row r="322" ht="15.75" customHeight="1" s="83"/>
    <row r="323" ht="15.75" customHeight="1" s="83"/>
    <row r="324" ht="15.75" customHeight="1" s="83"/>
    <row r="325" ht="15.75" customHeight="1" s="83"/>
    <row r="326" ht="15.75" customHeight="1" s="83"/>
    <row r="327" ht="15.75" customHeight="1" s="83"/>
    <row r="328" ht="15.75" customHeight="1" s="83"/>
    <row r="329" ht="15.75" customHeight="1" s="83"/>
    <row r="330" ht="15.75" customHeight="1" s="83"/>
    <row r="331" ht="15.75" customHeight="1" s="83"/>
    <row r="332" ht="15.75" customHeight="1" s="83"/>
    <row r="333" ht="15.75" customHeight="1" s="83"/>
    <row r="334" ht="15.75" customHeight="1" s="83"/>
    <row r="335" ht="15.75" customHeight="1" s="83"/>
    <row r="336" ht="15.75" customHeight="1" s="83"/>
    <row r="337" ht="15.75" customHeight="1" s="83"/>
    <row r="338" ht="15.75" customHeight="1" s="83"/>
    <row r="339" ht="15.75" customHeight="1" s="83"/>
    <row r="340" ht="15.75" customHeight="1" s="83"/>
    <row r="341" ht="15.75" customHeight="1" s="83"/>
    <row r="342" ht="15.75" customHeight="1" s="83"/>
    <row r="343" ht="15.75" customHeight="1" s="83"/>
    <row r="344" ht="15.75" customHeight="1" s="83"/>
    <row r="345" ht="15.75" customHeight="1" s="83"/>
    <row r="346" ht="15.75" customHeight="1" s="83"/>
    <row r="347" ht="15.75" customHeight="1" s="83"/>
    <row r="348" ht="15.75" customHeight="1" s="83"/>
    <row r="349" ht="15.75" customHeight="1" s="83"/>
    <row r="350" ht="15.75" customHeight="1" s="83"/>
    <row r="351" ht="15.75" customHeight="1" s="83"/>
    <row r="352" ht="15.75" customHeight="1" s="83"/>
    <row r="353" ht="15.75" customHeight="1" s="83"/>
    <row r="354" ht="15.75" customHeight="1" s="83"/>
    <row r="355" ht="15.75" customHeight="1" s="83"/>
    <row r="356" ht="15.75" customHeight="1" s="83"/>
    <row r="357" ht="15.75" customHeight="1" s="83"/>
    <row r="358" ht="15.75" customHeight="1" s="83"/>
    <row r="359" ht="15.75" customHeight="1" s="83"/>
    <row r="360" ht="15.75" customHeight="1" s="83"/>
    <row r="361" ht="15.75" customHeight="1" s="83"/>
    <row r="362" ht="15.75" customHeight="1" s="83"/>
    <row r="363" ht="15.75" customHeight="1" s="83"/>
    <row r="364" ht="15.75" customHeight="1" s="83"/>
    <row r="365" ht="15.75" customHeight="1" s="83"/>
    <row r="366" ht="15.75" customHeight="1" s="83"/>
    <row r="367" ht="15.75" customHeight="1" s="83"/>
    <row r="368" ht="15.75" customHeight="1" s="83"/>
    <row r="369" ht="15.75" customHeight="1" s="83"/>
    <row r="370" ht="15.75" customHeight="1" s="83"/>
    <row r="371" ht="15.75" customHeight="1" s="83"/>
    <row r="372" ht="15.75" customHeight="1" s="83"/>
    <row r="373" ht="15.75" customHeight="1" s="83"/>
    <row r="374" ht="15.75" customHeight="1" s="83"/>
    <row r="375" ht="15.75" customHeight="1" s="83"/>
    <row r="376" ht="15.75" customHeight="1" s="83"/>
    <row r="377" ht="15.75" customHeight="1" s="83"/>
    <row r="378" ht="15.75" customHeight="1" s="83"/>
    <row r="379" ht="15.75" customHeight="1" s="83"/>
    <row r="380" ht="15.75" customHeight="1" s="83"/>
    <row r="381" ht="15.75" customHeight="1" s="83"/>
    <row r="382" ht="15.75" customHeight="1" s="83"/>
    <row r="383" ht="15.75" customHeight="1" s="83"/>
    <row r="384" ht="15.75" customHeight="1" s="83"/>
    <row r="385" ht="15.75" customHeight="1" s="83"/>
    <row r="386" ht="15.75" customHeight="1" s="83"/>
    <row r="387" ht="15.75" customHeight="1" s="83"/>
    <row r="388" ht="15.75" customHeight="1" s="83"/>
    <row r="389" ht="15.75" customHeight="1" s="83"/>
    <row r="390" ht="15.75" customHeight="1" s="83"/>
    <row r="391" ht="15.75" customHeight="1" s="83"/>
    <row r="392" ht="15.75" customHeight="1" s="83"/>
    <row r="393" ht="15.75" customHeight="1" s="83"/>
    <row r="394" ht="15.75" customHeight="1" s="83"/>
    <row r="395" ht="15.75" customHeight="1" s="83"/>
    <row r="396" ht="15.75" customHeight="1" s="83"/>
    <row r="397" ht="15.75" customHeight="1" s="83"/>
    <row r="398" ht="15.75" customHeight="1" s="83"/>
    <row r="399" ht="15.75" customHeight="1" s="83"/>
    <row r="400" ht="15.75" customHeight="1" s="83"/>
    <row r="401" ht="15.75" customHeight="1" s="83"/>
    <row r="402" ht="15.75" customHeight="1" s="83"/>
    <row r="403" ht="15.75" customHeight="1" s="83"/>
    <row r="404" ht="15.75" customHeight="1" s="83"/>
    <row r="405" ht="15.75" customHeight="1" s="83"/>
    <row r="406" ht="15.75" customHeight="1" s="83"/>
    <row r="407" ht="15.75" customHeight="1" s="83"/>
    <row r="408" ht="15.75" customHeight="1" s="83"/>
    <row r="409" ht="15.75" customHeight="1" s="83"/>
    <row r="410" ht="15.75" customHeight="1" s="83"/>
    <row r="411" ht="15.75" customHeight="1" s="83"/>
    <row r="412" ht="15.75" customHeight="1" s="83"/>
    <row r="413" ht="15.75" customHeight="1" s="83"/>
    <row r="414" ht="15.75" customHeight="1" s="83"/>
    <row r="415" ht="15.75" customHeight="1" s="83"/>
    <row r="416" ht="15.75" customHeight="1" s="83"/>
    <row r="417" ht="15.75" customHeight="1" s="83"/>
    <row r="418" ht="15.75" customHeight="1" s="83"/>
    <row r="419" ht="15.75" customHeight="1" s="83"/>
    <row r="420" ht="15.75" customHeight="1" s="83"/>
    <row r="421" ht="15.75" customHeight="1" s="83"/>
    <row r="422" ht="15.75" customHeight="1" s="83"/>
    <row r="423" ht="15.75" customHeight="1" s="83"/>
    <row r="424" ht="15.75" customHeight="1" s="83"/>
    <row r="425" ht="15.75" customHeight="1" s="83"/>
    <row r="426" ht="15.75" customHeight="1" s="83"/>
    <row r="427" ht="15.75" customHeight="1" s="83"/>
    <row r="428" ht="15.75" customHeight="1" s="83"/>
    <row r="429" ht="15.75" customHeight="1" s="83"/>
    <row r="430" ht="15.75" customHeight="1" s="83"/>
    <row r="431" ht="15.75" customHeight="1" s="83"/>
    <row r="432" ht="15.75" customHeight="1" s="83"/>
    <row r="433" ht="15.75" customHeight="1" s="83"/>
    <row r="434" ht="15.75" customHeight="1" s="83"/>
    <row r="435" ht="15.75" customHeight="1" s="83"/>
    <row r="436" ht="15.75" customHeight="1" s="83"/>
    <row r="437" ht="15.75" customHeight="1" s="83"/>
    <row r="438" ht="15.75" customHeight="1" s="83"/>
    <row r="439" ht="15.75" customHeight="1" s="83"/>
    <row r="440" ht="15.75" customHeight="1" s="83"/>
    <row r="441" ht="15.75" customHeight="1" s="83"/>
    <row r="442" ht="15.75" customHeight="1" s="83"/>
    <row r="443" ht="15.75" customHeight="1" s="83"/>
    <row r="444" ht="15.75" customHeight="1" s="83"/>
    <row r="445" ht="15.75" customHeight="1" s="83"/>
    <row r="446" ht="15.75" customHeight="1" s="83"/>
    <row r="447" ht="15.75" customHeight="1" s="83"/>
    <row r="448" ht="15.75" customHeight="1" s="83"/>
    <row r="449" ht="15.75" customHeight="1" s="83"/>
    <row r="450" ht="15.75" customHeight="1" s="83"/>
    <row r="451" ht="15.75" customHeight="1" s="83"/>
    <row r="452" ht="15.75" customHeight="1" s="83"/>
    <row r="453" ht="15.75" customHeight="1" s="83"/>
    <row r="454" ht="15.75" customHeight="1" s="83"/>
    <row r="455" ht="15.75" customHeight="1" s="83"/>
    <row r="456" ht="15.75" customHeight="1" s="83"/>
    <row r="457" ht="15.75" customHeight="1" s="83"/>
    <row r="458" ht="15.75" customHeight="1" s="83"/>
    <row r="459" ht="15.75" customHeight="1" s="83"/>
    <row r="460" ht="15.75" customHeight="1" s="83"/>
    <row r="461" ht="15.75" customHeight="1" s="83"/>
    <row r="462" ht="15.75" customHeight="1" s="83"/>
    <row r="463" ht="15.75" customHeight="1" s="83"/>
    <row r="464" ht="15.75" customHeight="1" s="83"/>
    <row r="465" ht="15.75" customHeight="1" s="83"/>
    <row r="466" ht="15.75" customHeight="1" s="83"/>
    <row r="467" ht="15.75" customHeight="1" s="83"/>
    <row r="468" ht="15.75" customHeight="1" s="83"/>
    <row r="469" ht="15.75" customHeight="1" s="83"/>
    <row r="470" ht="15.75" customHeight="1" s="83"/>
    <row r="471" ht="15.75" customHeight="1" s="83"/>
    <row r="472" ht="15.75" customHeight="1" s="83"/>
    <row r="473" ht="15.75" customHeight="1" s="83"/>
    <row r="474" ht="15.75" customHeight="1" s="83"/>
    <row r="475" ht="15.75" customHeight="1" s="83"/>
    <row r="476" ht="15.75" customHeight="1" s="83"/>
    <row r="477" ht="15.75" customHeight="1" s="83"/>
    <row r="478" ht="15.75" customHeight="1" s="83"/>
    <row r="479" ht="15.75" customHeight="1" s="83"/>
    <row r="480" ht="15.75" customHeight="1" s="83"/>
    <row r="481" ht="15.75" customHeight="1" s="83"/>
    <row r="482" ht="15.75" customHeight="1" s="83"/>
    <row r="483" ht="15.75" customHeight="1" s="83"/>
    <row r="484" ht="15.75" customHeight="1" s="83"/>
    <row r="485" ht="15.75" customHeight="1" s="83"/>
    <row r="486" ht="15.75" customHeight="1" s="83"/>
    <row r="487" ht="15.75" customHeight="1" s="83"/>
    <row r="488" ht="15.75" customHeight="1" s="83"/>
    <row r="489" ht="15.75" customHeight="1" s="83"/>
    <row r="490" ht="15.75" customHeight="1" s="83"/>
    <row r="491" ht="15.75" customHeight="1" s="83"/>
    <row r="492" ht="15.75" customHeight="1" s="83"/>
    <row r="493" ht="15.75" customHeight="1" s="83"/>
    <row r="494" ht="15.75" customHeight="1" s="83"/>
    <row r="495" ht="15.75" customHeight="1" s="83"/>
    <row r="496" ht="15.75" customHeight="1" s="83"/>
    <row r="497" ht="15.75" customHeight="1" s="83"/>
    <row r="498" ht="15.75" customHeight="1" s="83"/>
    <row r="499" ht="15.75" customHeight="1" s="83"/>
    <row r="500" ht="15.75" customHeight="1" s="83"/>
    <row r="501" ht="15.75" customHeight="1" s="83"/>
    <row r="502" ht="15.75" customHeight="1" s="83"/>
    <row r="503" ht="15.75" customHeight="1" s="83"/>
    <row r="504" ht="15.75" customHeight="1" s="83"/>
    <row r="505" ht="15.75" customHeight="1" s="83"/>
    <row r="506" ht="15.75" customHeight="1" s="83"/>
    <row r="507" ht="15.75" customHeight="1" s="83"/>
    <row r="508" ht="15.75" customHeight="1" s="83"/>
    <row r="509" ht="15.75" customHeight="1" s="83"/>
    <row r="510" ht="15.75" customHeight="1" s="83"/>
    <row r="511" ht="15.75" customHeight="1" s="83"/>
    <row r="512" ht="15.75" customHeight="1" s="83"/>
    <row r="513" ht="15.75" customHeight="1" s="83"/>
    <row r="514" ht="15.75" customHeight="1" s="83"/>
    <row r="515" ht="15.75" customHeight="1" s="83"/>
    <row r="516" ht="15.75" customHeight="1" s="83"/>
    <row r="517" ht="15.75" customHeight="1" s="83"/>
    <row r="518" ht="15.75" customHeight="1" s="83"/>
    <row r="519" ht="15.75" customHeight="1" s="83"/>
    <row r="520" ht="15.75" customHeight="1" s="83"/>
    <row r="521" ht="15.75" customHeight="1" s="83"/>
    <row r="522" ht="15.75" customHeight="1" s="83"/>
    <row r="523" ht="15.75" customHeight="1" s="83"/>
    <row r="524" ht="15.75" customHeight="1" s="83"/>
    <row r="525" ht="15.75" customHeight="1" s="83"/>
    <row r="526" ht="15.75" customHeight="1" s="83"/>
    <row r="527" ht="15.75" customHeight="1" s="83"/>
    <row r="528" ht="15.75" customHeight="1" s="83"/>
    <row r="529" ht="15.75" customHeight="1" s="83"/>
    <row r="530" ht="15.75" customHeight="1" s="83"/>
    <row r="531" ht="15.75" customHeight="1" s="83"/>
    <row r="532" ht="15.75" customHeight="1" s="83"/>
    <row r="533" ht="15.75" customHeight="1" s="83"/>
    <row r="534" ht="15.75" customHeight="1" s="83"/>
    <row r="535" ht="15.75" customHeight="1" s="83"/>
    <row r="536" ht="15.75" customHeight="1" s="83"/>
    <row r="537" ht="15.75" customHeight="1" s="83"/>
    <row r="538" ht="15.75" customHeight="1" s="83"/>
    <row r="539" ht="15.75" customHeight="1" s="83"/>
    <row r="540" ht="15.75" customHeight="1" s="83"/>
    <row r="541" ht="15.75" customHeight="1" s="83"/>
    <row r="542" ht="15.75" customHeight="1" s="83"/>
    <row r="543" ht="15.75" customHeight="1" s="83"/>
    <row r="544" ht="15.75" customHeight="1" s="83"/>
    <row r="545" ht="15.75" customHeight="1" s="83"/>
    <row r="546" ht="15.75" customHeight="1" s="83"/>
    <row r="547" ht="15.75" customHeight="1" s="83"/>
    <row r="548" ht="15.75" customHeight="1" s="83"/>
    <row r="549" ht="15.75" customHeight="1" s="83"/>
    <row r="550" ht="15.75" customHeight="1" s="83"/>
    <row r="551" ht="15.75" customHeight="1" s="83"/>
    <row r="552" ht="15.75" customHeight="1" s="83"/>
    <row r="553" ht="15.75" customHeight="1" s="83"/>
    <row r="554" ht="15.75" customHeight="1" s="83"/>
    <row r="555" ht="15.75" customHeight="1" s="83"/>
    <row r="556" ht="15.75" customHeight="1" s="83"/>
    <row r="557" ht="15.75" customHeight="1" s="83"/>
    <row r="558" ht="15.75" customHeight="1" s="83"/>
    <row r="559" ht="15.75" customHeight="1" s="83"/>
    <row r="560" ht="15.75" customHeight="1" s="83"/>
    <row r="561" ht="15.75" customHeight="1" s="83"/>
    <row r="562" ht="15.75" customHeight="1" s="83"/>
    <row r="563" ht="15.75" customHeight="1" s="83"/>
    <row r="564" ht="15.75" customHeight="1" s="83"/>
    <row r="565" ht="15.75" customHeight="1" s="83"/>
    <row r="566" ht="15.75" customHeight="1" s="83"/>
    <row r="567" ht="15.75" customHeight="1" s="83"/>
    <row r="568" ht="15.75" customHeight="1" s="83"/>
    <row r="569" ht="15.75" customHeight="1" s="83"/>
    <row r="570" ht="15.75" customHeight="1" s="83"/>
    <row r="571" ht="15.75" customHeight="1" s="83"/>
    <row r="572" ht="15.75" customHeight="1" s="83"/>
    <row r="573" ht="15.75" customHeight="1" s="83"/>
    <row r="574" ht="15.75" customHeight="1" s="83"/>
    <row r="575" ht="15.75" customHeight="1" s="83"/>
    <row r="576" ht="15.75" customHeight="1" s="83"/>
    <row r="577" ht="15.75" customHeight="1" s="83"/>
    <row r="578" ht="15.75" customHeight="1" s="83"/>
    <row r="579" ht="15.75" customHeight="1" s="83"/>
    <row r="580" ht="15.75" customHeight="1" s="83"/>
    <row r="581" ht="15.75" customHeight="1" s="83"/>
    <row r="582" ht="15.75" customHeight="1" s="83"/>
    <row r="583" ht="15.75" customHeight="1" s="83"/>
    <row r="584" ht="15.75" customHeight="1" s="83"/>
    <row r="585" ht="15.75" customHeight="1" s="83"/>
    <row r="586" ht="15.75" customHeight="1" s="83"/>
    <row r="587" ht="15.75" customHeight="1" s="83"/>
    <row r="588" ht="15.75" customHeight="1" s="83"/>
    <row r="589" ht="15.75" customHeight="1" s="83"/>
    <row r="590" ht="15.75" customHeight="1" s="83"/>
    <row r="591" ht="15.75" customHeight="1" s="83"/>
    <row r="592" ht="15.75" customHeight="1" s="83"/>
    <row r="593" ht="15.75" customHeight="1" s="83"/>
    <row r="594" ht="15.75" customHeight="1" s="83"/>
    <row r="595" ht="15.75" customHeight="1" s="83"/>
    <row r="596" ht="15.75" customHeight="1" s="83"/>
    <row r="597" ht="15.75" customHeight="1" s="83"/>
    <row r="598" ht="15.75" customHeight="1" s="83"/>
    <row r="599" ht="15.75" customHeight="1" s="83"/>
    <row r="600" ht="15.75" customHeight="1" s="83"/>
    <row r="601" ht="15.75" customHeight="1" s="83"/>
    <row r="602" ht="15.75" customHeight="1" s="83"/>
    <row r="603" ht="15.75" customHeight="1" s="83"/>
    <row r="604" ht="15.75" customHeight="1" s="83"/>
    <row r="605" ht="15.75" customHeight="1" s="83"/>
    <row r="606" ht="15.75" customHeight="1" s="83"/>
    <row r="607" ht="15.75" customHeight="1" s="83"/>
    <row r="608" ht="15.75" customHeight="1" s="83"/>
    <row r="609" ht="15.75" customHeight="1" s="83"/>
    <row r="610" ht="15.75" customHeight="1" s="83"/>
    <row r="611" ht="15.75" customHeight="1" s="83"/>
    <row r="612" ht="15.75" customHeight="1" s="83"/>
    <row r="613" ht="15.75" customHeight="1" s="83"/>
    <row r="614" ht="15.75" customHeight="1" s="83"/>
    <row r="615" ht="15.75" customHeight="1" s="83"/>
    <row r="616" ht="15.75" customHeight="1" s="83"/>
    <row r="617" ht="15.75" customHeight="1" s="83"/>
    <row r="618" ht="15.75" customHeight="1" s="83"/>
    <row r="619" ht="15.75" customHeight="1" s="83"/>
    <row r="620" ht="15.75" customHeight="1" s="83"/>
    <row r="621" ht="15.75" customHeight="1" s="83"/>
    <row r="622" ht="15.75" customHeight="1" s="83"/>
    <row r="623" ht="15.75" customHeight="1" s="83"/>
    <row r="624" ht="15.75" customHeight="1" s="83"/>
    <row r="625" ht="15.75" customHeight="1" s="83"/>
    <row r="626" ht="15.75" customHeight="1" s="83"/>
    <row r="627" ht="15.75" customHeight="1" s="83"/>
    <row r="628" ht="15.75" customHeight="1" s="83"/>
    <row r="629" ht="15.75" customHeight="1" s="83"/>
    <row r="630" ht="15.75" customHeight="1" s="83"/>
    <row r="631" ht="15.75" customHeight="1" s="83"/>
    <row r="632" ht="15.75" customHeight="1" s="83"/>
    <row r="633" ht="15.75" customHeight="1" s="83"/>
    <row r="634" ht="15.75" customHeight="1" s="83"/>
    <row r="635" ht="15.75" customHeight="1" s="83"/>
    <row r="636" ht="15.75" customHeight="1" s="83"/>
    <row r="637" ht="15.75" customHeight="1" s="83"/>
    <row r="638" ht="15.75" customHeight="1" s="83"/>
    <row r="639" ht="15.75" customHeight="1" s="83"/>
    <row r="640" ht="15.75" customHeight="1" s="83"/>
    <row r="641" ht="15.75" customHeight="1" s="83"/>
    <row r="642" ht="15.75" customHeight="1" s="83"/>
    <row r="643" ht="15.75" customHeight="1" s="83"/>
    <row r="644" ht="15.75" customHeight="1" s="83"/>
    <row r="645" ht="15.75" customHeight="1" s="83"/>
    <row r="646" ht="15.75" customHeight="1" s="83"/>
    <row r="647" ht="15.75" customHeight="1" s="83"/>
    <row r="648" ht="15.75" customHeight="1" s="83"/>
    <row r="649" ht="15.75" customHeight="1" s="83"/>
    <row r="650" ht="15.75" customHeight="1" s="83"/>
    <row r="651" ht="15.75" customHeight="1" s="83"/>
    <row r="652" ht="15.75" customHeight="1" s="83"/>
    <row r="653" ht="15.75" customHeight="1" s="83"/>
    <row r="654" ht="15.75" customHeight="1" s="83"/>
    <row r="655" ht="15.75" customHeight="1" s="83"/>
    <row r="656" ht="15.75" customHeight="1" s="83"/>
    <row r="657" ht="15.75" customHeight="1" s="83"/>
    <row r="658" ht="15.75" customHeight="1" s="83"/>
    <row r="659" ht="15.75" customHeight="1" s="83"/>
    <row r="660" ht="15.75" customHeight="1" s="83"/>
    <row r="661" ht="15.75" customHeight="1" s="83"/>
    <row r="662" ht="15.75" customHeight="1" s="83"/>
    <row r="663" ht="15.75" customHeight="1" s="83"/>
    <row r="664" ht="15.75" customHeight="1" s="83"/>
    <row r="665" ht="15.75" customHeight="1" s="83"/>
    <row r="666" ht="15.75" customHeight="1" s="83"/>
    <row r="667" ht="15.75" customHeight="1" s="83"/>
    <row r="668" ht="15.75" customHeight="1" s="83"/>
    <row r="669" ht="15.75" customHeight="1" s="83"/>
    <row r="670" ht="15.75" customHeight="1" s="83"/>
    <row r="671" ht="15.75" customHeight="1" s="83"/>
    <row r="672" ht="15.75" customHeight="1" s="83"/>
    <row r="673" ht="15.75" customHeight="1" s="83"/>
    <row r="674" ht="15.75" customHeight="1" s="83"/>
    <row r="675" ht="15.75" customHeight="1" s="83"/>
    <row r="676" ht="15.75" customHeight="1" s="83"/>
    <row r="677" ht="15.75" customHeight="1" s="83"/>
    <row r="678" ht="15.75" customHeight="1" s="83"/>
    <row r="679" ht="15.75" customHeight="1" s="83"/>
    <row r="680" ht="15.75" customHeight="1" s="83"/>
    <row r="681" ht="15.75" customHeight="1" s="83"/>
    <row r="682" ht="15.75" customHeight="1" s="83"/>
    <row r="683" ht="15.75" customHeight="1" s="83"/>
    <row r="684" ht="15.75" customHeight="1" s="83"/>
    <row r="685" ht="15.75" customHeight="1" s="83"/>
    <row r="686" ht="15.75" customHeight="1" s="83"/>
    <row r="687" ht="15.75" customHeight="1" s="83"/>
    <row r="688" ht="15.75" customHeight="1" s="83"/>
    <row r="689" ht="15.75" customHeight="1" s="83"/>
    <row r="690" ht="15.75" customHeight="1" s="83"/>
    <row r="691" ht="15.75" customHeight="1" s="83"/>
    <row r="692" ht="15.75" customHeight="1" s="83"/>
    <row r="693" ht="15.75" customHeight="1" s="83"/>
    <row r="694" ht="15.75" customHeight="1" s="83"/>
    <row r="695" ht="15.75" customHeight="1" s="83"/>
    <row r="696" ht="15.75" customHeight="1" s="83"/>
    <row r="697" ht="15.75" customHeight="1" s="83"/>
    <row r="698" ht="15.75" customHeight="1" s="83"/>
    <row r="699" ht="15.75" customHeight="1" s="83"/>
    <row r="700" ht="15.75" customHeight="1" s="83"/>
    <row r="701" ht="15.75" customHeight="1" s="83"/>
    <row r="702" ht="15.75" customHeight="1" s="83"/>
    <row r="703" ht="15.75" customHeight="1" s="83"/>
    <row r="704" ht="15.75" customHeight="1" s="83"/>
    <row r="705" ht="15.75" customHeight="1" s="83"/>
    <row r="706" ht="15.75" customHeight="1" s="83"/>
    <row r="707" ht="15.75" customHeight="1" s="83"/>
    <row r="708" ht="15.75" customHeight="1" s="83"/>
    <row r="709" ht="15.75" customHeight="1" s="83"/>
    <row r="710" ht="15.75" customHeight="1" s="83"/>
    <row r="711" ht="15.75" customHeight="1" s="83"/>
    <row r="712" ht="15.75" customHeight="1" s="83"/>
    <row r="713" ht="15.75" customHeight="1" s="83"/>
    <row r="714" ht="15.75" customHeight="1" s="83"/>
    <row r="715" ht="15.75" customHeight="1" s="83"/>
    <row r="716" ht="15.75" customHeight="1" s="83"/>
    <row r="717" ht="15.75" customHeight="1" s="83"/>
    <row r="718" ht="15.75" customHeight="1" s="83"/>
    <row r="719" ht="15.75" customHeight="1" s="83"/>
    <row r="720" ht="15.75" customHeight="1" s="83"/>
    <row r="721" ht="15.75" customHeight="1" s="83"/>
    <row r="722" ht="15.75" customHeight="1" s="83"/>
    <row r="723" ht="15.75" customHeight="1" s="83"/>
    <row r="724" ht="15.75" customHeight="1" s="83"/>
    <row r="725" ht="15.75" customHeight="1" s="83"/>
    <row r="726" ht="15.75" customHeight="1" s="83"/>
    <row r="727" ht="15.75" customHeight="1" s="83"/>
    <row r="728" ht="15.75" customHeight="1" s="83"/>
    <row r="729" ht="15.75" customHeight="1" s="83"/>
    <row r="730" ht="15.75" customHeight="1" s="83"/>
    <row r="731" ht="15.75" customHeight="1" s="83"/>
    <row r="732" ht="15.75" customHeight="1" s="83"/>
    <row r="733" ht="15.75" customHeight="1" s="83"/>
    <row r="734" ht="15.75" customHeight="1" s="83"/>
    <row r="735" ht="15.75" customHeight="1" s="83"/>
    <row r="736" ht="15.75" customHeight="1" s="83"/>
    <row r="737" ht="15.75" customHeight="1" s="83"/>
    <row r="738" ht="15.75" customHeight="1" s="83"/>
    <row r="739" ht="15.75" customHeight="1" s="83"/>
    <row r="740" ht="15.75" customHeight="1" s="83"/>
    <row r="741" ht="15.75" customHeight="1" s="83"/>
    <row r="742" ht="15.75" customHeight="1" s="83"/>
    <row r="743" ht="15.75" customHeight="1" s="83"/>
    <row r="744" ht="15.75" customHeight="1" s="83"/>
    <row r="745" ht="15.75" customHeight="1" s="83"/>
    <row r="746" ht="15.75" customHeight="1" s="83"/>
    <row r="747" ht="15.75" customHeight="1" s="83"/>
    <row r="748" ht="15.75" customHeight="1" s="83"/>
    <row r="749" ht="15.75" customHeight="1" s="83"/>
    <row r="750" ht="15.75" customHeight="1" s="83"/>
    <row r="751" ht="15.75" customHeight="1" s="83"/>
    <row r="752" ht="15.75" customHeight="1" s="83"/>
    <row r="753" ht="15.75" customHeight="1" s="83"/>
    <row r="754" ht="15.75" customHeight="1" s="83"/>
    <row r="755" ht="15.75" customHeight="1" s="83"/>
    <row r="756" ht="15.75" customHeight="1" s="83"/>
    <row r="757" ht="15.75" customHeight="1" s="83"/>
    <row r="758" ht="15.75" customHeight="1" s="83"/>
    <row r="759" ht="15.75" customHeight="1" s="83"/>
    <row r="760" ht="15.75" customHeight="1" s="83"/>
    <row r="761" ht="15.75" customHeight="1" s="83"/>
    <row r="762" ht="15.75" customHeight="1" s="83"/>
    <row r="763" ht="15.75" customHeight="1" s="83"/>
    <row r="764" ht="15.75" customHeight="1" s="83"/>
    <row r="765" ht="15.75" customHeight="1" s="83"/>
    <row r="766" ht="15.75" customHeight="1" s="83"/>
    <row r="767" ht="15.75" customHeight="1" s="83"/>
    <row r="768" ht="15.75" customHeight="1" s="83"/>
    <row r="769" ht="15.75" customHeight="1" s="83"/>
    <row r="770" ht="15.75" customHeight="1" s="83"/>
    <row r="771" ht="15.75" customHeight="1" s="83"/>
    <row r="772" ht="15.75" customHeight="1" s="83"/>
    <row r="773" ht="15.75" customHeight="1" s="83"/>
    <row r="774" ht="15.75" customHeight="1" s="83"/>
    <row r="775" ht="15.75" customHeight="1" s="83"/>
    <row r="776" ht="15.75" customHeight="1" s="83"/>
    <row r="777" ht="15.75" customHeight="1" s="83"/>
    <row r="778" ht="15.75" customHeight="1" s="83"/>
    <row r="779" ht="15.75" customHeight="1" s="83"/>
    <row r="780" ht="15.75" customHeight="1" s="83"/>
    <row r="781" ht="15.75" customHeight="1" s="83"/>
    <row r="782" ht="15.75" customHeight="1" s="83"/>
    <row r="783" ht="15.75" customHeight="1" s="83"/>
    <row r="784" ht="15.75" customHeight="1" s="83"/>
    <row r="785" ht="15.75" customHeight="1" s="83"/>
    <row r="786" ht="15.75" customHeight="1" s="83"/>
    <row r="787" ht="15.75" customHeight="1" s="83"/>
    <row r="788" ht="15.75" customHeight="1" s="83"/>
    <row r="789" ht="15.75" customHeight="1" s="83"/>
    <row r="790" ht="15.75" customHeight="1" s="83"/>
    <row r="791" ht="15.75" customHeight="1" s="83"/>
    <row r="792" ht="15.75" customHeight="1" s="83"/>
    <row r="793" ht="15.75" customHeight="1" s="83"/>
    <row r="794" ht="15.75" customHeight="1" s="83"/>
    <row r="795" ht="15.75" customHeight="1" s="83"/>
    <row r="796" ht="15.75" customHeight="1" s="83"/>
    <row r="797" ht="15.75" customHeight="1" s="83"/>
    <row r="798" ht="15.75" customHeight="1" s="83"/>
    <row r="799" ht="15.75" customHeight="1" s="83"/>
    <row r="800" ht="15.75" customHeight="1" s="83"/>
    <row r="801" ht="15.75" customHeight="1" s="83"/>
    <row r="802" ht="15.75" customHeight="1" s="83"/>
    <row r="803" ht="15.75" customHeight="1" s="83"/>
    <row r="804" ht="15.75" customHeight="1" s="83"/>
    <row r="805" ht="15.75" customHeight="1" s="83"/>
    <row r="806" ht="15.75" customHeight="1" s="83"/>
    <row r="807" ht="15.75" customHeight="1" s="83"/>
    <row r="808" ht="15.75" customHeight="1" s="83"/>
    <row r="809" ht="15.75" customHeight="1" s="83"/>
    <row r="810" ht="15.75" customHeight="1" s="83"/>
    <row r="811" ht="15.75" customHeight="1" s="83"/>
    <row r="812" ht="15.75" customHeight="1" s="83"/>
    <row r="813" ht="15.75" customHeight="1" s="83"/>
    <row r="814" ht="15.75" customHeight="1" s="83"/>
    <row r="815" ht="15.75" customHeight="1" s="83"/>
    <row r="816" ht="15.75" customHeight="1" s="83"/>
    <row r="817" ht="15.75" customHeight="1" s="83"/>
    <row r="818" ht="15.75" customHeight="1" s="83"/>
    <row r="819" ht="15.75" customHeight="1" s="83"/>
    <row r="820" ht="15.75" customHeight="1" s="83"/>
    <row r="821" ht="15.75" customHeight="1" s="83"/>
    <row r="822" ht="15.75" customHeight="1" s="83"/>
    <row r="823" ht="15.75" customHeight="1" s="83"/>
    <row r="824" ht="15.75" customHeight="1" s="83"/>
    <row r="825" ht="15.75" customHeight="1" s="83"/>
    <row r="826" ht="15.75" customHeight="1" s="83"/>
    <row r="827" ht="15.75" customHeight="1" s="83"/>
    <row r="828" ht="15.75" customHeight="1" s="83"/>
    <row r="829" ht="15.75" customHeight="1" s="83"/>
    <row r="830" ht="15.75" customHeight="1" s="83"/>
    <row r="831" ht="15.75" customHeight="1" s="83"/>
    <row r="832" ht="15.75" customHeight="1" s="83"/>
    <row r="833" ht="15.75" customHeight="1" s="83"/>
    <row r="834" ht="15.75" customHeight="1" s="83"/>
    <row r="835" ht="15.75" customHeight="1" s="83"/>
    <row r="836" ht="15.75" customHeight="1" s="83"/>
    <row r="837" ht="15.75" customHeight="1" s="83"/>
    <row r="838" ht="15.75" customHeight="1" s="83"/>
    <row r="839" ht="15.75" customHeight="1" s="83"/>
    <row r="840" ht="15.75" customHeight="1" s="83"/>
    <row r="841" ht="15.75" customHeight="1" s="83"/>
    <row r="842" ht="15.75" customHeight="1" s="83"/>
    <row r="843" ht="15.75" customHeight="1" s="83"/>
    <row r="844" ht="15.75" customHeight="1" s="83"/>
    <row r="845" ht="15.75" customHeight="1" s="83"/>
    <row r="846" ht="15.75" customHeight="1" s="83"/>
    <row r="847" ht="15.75" customHeight="1" s="83"/>
    <row r="848" ht="15.75" customHeight="1" s="83"/>
    <row r="849" ht="15.75" customHeight="1" s="83"/>
    <row r="850" ht="15.75" customHeight="1" s="83"/>
    <row r="851" ht="15.75" customHeight="1" s="83"/>
    <row r="852" ht="15.75" customHeight="1" s="83"/>
    <row r="853" ht="15.75" customHeight="1" s="83"/>
    <row r="854" ht="15.75" customHeight="1" s="83"/>
    <row r="855" ht="15.75" customHeight="1" s="83"/>
    <row r="856" ht="15.75" customHeight="1" s="83"/>
    <row r="857" ht="15.75" customHeight="1" s="83"/>
    <row r="858" ht="15.75" customHeight="1" s="83"/>
    <row r="859" ht="15.75" customHeight="1" s="83"/>
    <row r="860" ht="15.75" customHeight="1" s="83"/>
    <row r="861" ht="15.75" customHeight="1" s="83"/>
    <row r="862" ht="15.75" customHeight="1" s="83"/>
    <row r="863" ht="15.75" customHeight="1" s="83"/>
    <row r="864" ht="15.75" customHeight="1" s="83"/>
    <row r="865" ht="15.75" customHeight="1" s="83"/>
    <row r="866" ht="15.75" customHeight="1" s="83"/>
    <row r="867" ht="15.75" customHeight="1" s="83"/>
    <row r="868" ht="15.75" customHeight="1" s="83"/>
    <row r="869" ht="15.75" customHeight="1" s="83"/>
    <row r="870" ht="15.75" customHeight="1" s="83"/>
    <row r="871" ht="15.75" customHeight="1" s="83"/>
    <row r="872" ht="15.75" customHeight="1" s="83"/>
    <row r="873" ht="15.75" customHeight="1" s="83"/>
    <row r="874" ht="15.75" customHeight="1" s="83"/>
    <row r="875" ht="15.75" customHeight="1" s="83"/>
    <row r="876" ht="15.75" customHeight="1" s="83"/>
    <row r="877" ht="15.75" customHeight="1" s="83"/>
    <row r="878" ht="15.75" customHeight="1" s="83"/>
    <row r="879" ht="15.75" customHeight="1" s="83"/>
    <row r="880" ht="15.75" customHeight="1" s="83"/>
    <row r="881" ht="15.75" customHeight="1" s="83"/>
    <row r="882" ht="15.75" customHeight="1" s="83"/>
    <row r="883" ht="15.75" customHeight="1" s="83"/>
    <row r="884" ht="15.75" customHeight="1" s="83"/>
    <row r="885" ht="15.75" customHeight="1" s="83"/>
    <row r="886" ht="15.75" customHeight="1" s="83"/>
    <row r="887" ht="15.75" customHeight="1" s="83"/>
    <row r="888" ht="15.75" customHeight="1" s="83"/>
    <row r="889" ht="15.75" customHeight="1" s="83"/>
    <row r="890" ht="15.75" customHeight="1" s="83"/>
    <row r="891" ht="15.75" customHeight="1" s="83"/>
    <row r="892" ht="15.75" customHeight="1" s="83"/>
    <row r="893" ht="15.75" customHeight="1" s="83"/>
    <row r="894" ht="15.75" customHeight="1" s="83"/>
    <row r="895" ht="15.75" customHeight="1" s="83"/>
    <row r="896" ht="15.75" customHeight="1" s="83"/>
    <row r="897" ht="15.75" customHeight="1" s="83"/>
    <row r="898" ht="15.75" customHeight="1" s="83"/>
    <row r="899" ht="15.75" customHeight="1" s="83"/>
    <row r="900" ht="15.75" customHeight="1" s="83"/>
    <row r="901" ht="15.75" customHeight="1" s="83"/>
    <row r="902" ht="15.75" customHeight="1" s="83"/>
    <row r="903" ht="15.75" customHeight="1" s="83"/>
    <row r="904" ht="15.75" customHeight="1" s="83"/>
    <row r="905" ht="15.75" customHeight="1" s="83"/>
    <row r="906" ht="15.75" customHeight="1" s="83"/>
    <row r="907" ht="15.75" customHeight="1" s="83"/>
    <row r="908" ht="15.75" customHeight="1" s="83"/>
    <row r="909" ht="15.75" customHeight="1" s="83"/>
    <row r="910" ht="15.75" customHeight="1" s="83"/>
    <row r="911" ht="15.75" customHeight="1" s="83"/>
    <row r="912" ht="15.75" customHeight="1" s="83"/>
    <row r="913" ht="15.75" customHeight="1" s="83"/>
    <row r="914" ht="15.75" customHeight="1" s="83"/>
    <row r="915" ht="15.75" customHeight="1" s="83"/>
    <row r="916" ht="15.75" customHeight="1" s="83"/>
    <row r="917" ht="15.75" customHeight="1" s="83"/>
    <row r="918" ht="15.75" customHeight="1" s="83"/>
    <row r="919" ht="15.75" customHeight="1" s="83"/>
    <row r="920" ht="15.75" customHeight="1" s="83"/>
    <row r="921" ht="15.75" customHeight="1" s="83"/>
    <row r="922" ht="15.75" customHeight="1" s="83"/>
    <row r="923" ht="15.75" customHeight="1" s="83"/>
    <row r="924" ht="15.75" customHeight="1" s="83"/>
    <row r="925" ht="15.75" customHeight="1" s="83"/>
    <row r="926" ht="15.75" customHeight="1" s="83"/>
    <row r="927" ht="15.75" customHeight="1" s="83"/>
    <row r="928" ht="15.75" customHeight="1" s="83"/>
    <row r="929" ht="15.75" customHeight="1" s="83"/>
    <row r="930" ht="15.75" customHeight="1" s="83"/>
    <row r="931" ht="15.75" customHeight="1" s="83"/>
    <row r="932" ht="15.75" customHeight="1" s="83"/>
    <row r="933" ht="15.75" customHeight="1" s="83"/>
    <row r="934" ht="15.75" customHeight="1" s="83"/>
    <row r="935" ht="15.75" customHeight="1" s="83"/>
    <row r="936" ht="15.75" customHeight="1" s="83"/>
    <row r="937" ht="15.75" customHeight="1" s="83"/>
    <row r="938" ht="15.75" customHeight="1" s="83"/>
    <row r="939" ht="15.75" customHeight="1" s="83"/>
    <row r="940" ht="15.75" customHeight="1" s="83"/>
    <row r="941" ht="15.75" customHeight="1" s="83"/>
    <row r="942" ht="15.75" customHeight="1" s="83"/>
    <row r="943" ht="15.75" customHeight="1" s="83"/>
    <row r="944" ht="15.75" customHeight="1" s="83"/>
    <row r="945" ht="15.75" customHeight="1" s="83"/>
    <row r="946" ht="15.75" customHeight="1" s="83"/>
    <row r="947" ht="15.75" customHeight="1" s="83"/>
    <row r="948" ht="15.75" customHeight="1" s="83"/>
    <row r="949" ht="15.75" customHeight="1" s="83"/>
    <row r="950" ht="15.75" customHeight="1" s="83"/>
    <row r="951" ht="15.75" customHeight="1" s="83"/>
    <row r="952" ht="15.75" customHeight="1" s="83"/>
    <row r="953" ht="15.75" customHeight="1" s="83"/>
    <row r="954" ht="15.75" customHeight="1" s="83"/>
    <row r="955" ht="15.75" customHeight="1" s="83"/>
    <row r="956" ht="15.75" customHeight="1" s="83"/>
    <row r="957" ht="15.75" customHeight="1" s="83"/>
    <row r="958" ht="15.75" customHeight="1" s="83"/>
    <row r="959" ht="15.75" customHeight="1" s="83"/>
    <row r="960" ht="15.75" customHeight="1" s="83"/>
    <row r="961" ht="15.75" customHeight="1" s="83"/>
    <row r="962" ht="15.75" customHeight="1" s="83"/>
    <row r="963" ht="15.75" customHeight="1" s="83"/>
    <row r="964" ht="15.75" customHeight="1" s="83"/>
    <row r="965" ht="15.75" customHeight="1" s="83"/>
    <row r="966" ht="15.75" customHeight="1" s="83"/>
    <row r="967" ht="15.75" customHeight="1" s="83"/>
    <row r="968" ht="15.75" customHeight="1" s="83"/>
    <row r="969" ht="15.75" customHeight="1" s="83"/>
    <row r="970" ht="15.75" customHeight="1" s="83"/>
    <row r="971" ht="15.75" customHeight="1" s="83"/>
    <row r="972" ht="15.75" customHeight="1" s="83"/>
    <row r="973" ht="15.75" customHeight="1" s="83"/>
    <row r="974" ht="15.75" customHeight="1" s="83"/>
    <row r="975" ht="15.75" customHeight="1" s="83"/>
    <row r="976" ht="15.75" customHeight="1" s="83"/>
    <row r="977" ht="15.75" customHeight="1" s="83"/>
    <row r="978" ht="15.75" customHeight="1" s="83"/>
    <row r="979" ht="15.75" customHeight="1" s="83"/>
    <row r="980" ht="15.75" customHeight="1" s="83"/>
    <row r="981" ht="15.75" customHeight="1" s="83"/>
    <row r="982" ht="15.75" customHeight="1" s="83"/>
    <row r="983" ht="15.75" customHeight="1" s="83"/>
    <row r="984" ht="15.75" customHeight="1" s="83"/>
    <row r="985" ht="15.75" customHeight="1" s="83"/>
    <row r="986" ht="15.75" customHeight="1" s="83"/>
    <row r="987" ht="15.75" customHeight="1" s="83"/>
    <row r="988" ht="15.75" customHeight="1" s="83"/>
    <row r="989" ht="15.75" customHeight="1" s="83"/>
    <row r="990" ht="15.75" customHeight="1" s="83"/>
    <row r="991" ht="15.75" customHeight="1" s="83"/>
    <row r="992" ht="15.75" customHeight="1" s="83"/>
    <row r="993" ht="15.75" customHeight="1" s="83"/>
    <row r="994" ht="15.75" customHeight="1" s="83"/>
    <row r="995" ht="15.75" customHeight="1" s="83"/>
    <row r="996" ht="15.75" customHeight="1" s="83"/>
    <row r="997" ht="15.75" customHeight="1" s="83"/>
    <row r="998" ht="15.75" customHeight="1" s="83"/>
    <row r="999" ht="15.75" customHeight="1" s="83"/>
    <row r="1000" ht="15.75" customHeight="1" s="83"/>
    <row r="1001" ht="15.75" customHeight="1" s="83"/>
  </sheetData>
  <mergeCells count="16">
    <mergeCell ref="B6:D6"/>
    <mergeCell ref="B4:D4"/>
    <mergeCell ref="D10:E10"/>
    <mergeCell ref="B8:D8"/>
    <mergeCell ref="A9:D9"/>
    <mergeCell ref="B5:D5"/>
    <mergeCell ref="A2:B3"/>
    <mergeCell ref="C2:D3"/>
    <mergeCell ref="C11:C13"/>
    <mergeCell ref="E11:E13"/>
    <mergeCell ref="A1:D1"/>
    <mergeCell ref="A11:B12"/>
    <mergeCell ref="B7:D7"/>
    <mergeCell ref="E2:E9"/>
    <mergeCell ref="D11:D13"/>
    <mergeCell ref="A13:B13"/>
  </mergeCells>
  <dataValidations count="2">
    <dataValidation sqref="B4" showDropDown="0" showInputMessage="0" showErrorMessage="1" allowBlank="1" type="date" operator="greaterThanOrEqual">
      <formula1>1.0</formula1>
    </dataValidation>
    <dataValidation sqref="C14 C16 C19 C21 C25 C27 C29 C31 C33 C35 C37 C40 C42 C44" showDropDown="0" showInputMessage="0" showErrorMessage="1" allowBlank="1" type="list">
      <formula1>"[ Valider le statut ],Validé,Réservé ,Rejeté "</formula1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2025-11-13T11:20:59Z</dcterms:created>
  <dcterms:modified xmlns:dcterms="http://purl.org/dc/terms/" xmlns:xsi="http://www.w3.org/2001/XMLSchema-instance" xsi:type="dcterms:W3CDTF">2025-11-13T11:21:00Z</dcterms:modified>
</cp:coreProperties>
</file>